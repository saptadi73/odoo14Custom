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 KPI" sheetId="1" r:id="rId1"/>
    <sheet name="Executive Summary" sheetId="2" r:id="rId2"/>
    <sheet name="Override Example" sheetId="3" r:id="rId3"/>
    <sheet name="Simulator" sheetId="4" r:id="rId4"/>
  </sheets>
  <calcPr calcId="124519" fullCalcOnLoad="1"/>
</workbook>
</file>

<file path=xl/sharedStrings.xml><?xml version="1.0" encoding="utf-8"?>
<sst xmlns="http://schemas.openxmlformats.org/spreadsheetml/2006/main" count="97" uniqueCount="74">
  <si>
    <t>Sample Perhitungan Bobot KPI Employee</t>
  </si>
  <si>
    <t>Formula modul odoo_kpi: Total Score = SUM((Actual / Target) x Weight) untuk semua assignment employee dalam 1 periode.</t>
  </si>
  <si>
    <t>No</t>
  </si>
  <si>
    <t>KPI</t>
  </si>
  <si>
    <t>Target</t>
  </si>
  <si>
    <t>Actual</t>
  </si>
  <si>
    <t>Weight</t>
  </si>
  <si>
    <t>Achievement</t>
  </si>
  <si>
    <t>Nilai Assignment</t>
  </si>
  <si>
    <t>Kontribusi ke Total</t>
  </si>
  <si>
    <t>Status</t>
  </si>
  <si>
    <t>Catatan</t>
  </si>
  <si>
    <t>Sales</t>
  </si>
  <si>
    <t>Rumus Odoo: (actual / target) x weight</t>
  </si>
  <si>
    <t>Visit</t>
  </si>
  <si>
    <t>Kontribusi dihitung dari nilai assignment dibagi total score employee</t>
  </si>
  <si>
    <t>Collection</t>
  </si>
  <si>
    <t>Tidak ada cap di kode, jadi over target bisa melampaui bobot</t>
  </si>
  <si>
    <t>Total Score</t>
  </si>
  <si>
    <t>Total Weight</t>
  </si>
  <si>
    <t>Grade</t>
  </si>
  <si>
    <t>Interpretasi</t>
  </si>
  <si>
    <t>Jika total weight = 100 maka total score terasa seperti skala 0-100. Jika actual &gt; target, nilai assignment bisa melebihi bobot karena rumus belum di-cap.</t>
  </si>
  <si>
    <t>Cara pakai:</t>
  </si>
  <si>
    <t>1.</t>
  </si>
  <si>
    <t>Ubah kolom Target, Actual, atau Weight untuk simulasi KPI lain.</t>
  </si>
  <si>
    <t>2.</t>
  </si>
  <si>
    <t>Achievement = Actual / Target.</t>
  </si>
  <si>
    <t>3.</t>
  </si>
  <si>
    <t>Nilai Assignment = Achievement x Weight.</t>
  </si>
  <si>
    <t>4.</t>
  </si>
  <si>
    <t>Kontribusi ke Total = Nilai Assignment / Total Score.</t>
  </si>
  <si>
    <t>5.</t>
  </si>
  <si>
    <t>Jika total weight = 100, total score akan terasa seperti nilai skala 0-100.</t>
  </si>
  <si>
    <t>6.</t>
  </si>
  <si>
    <t>Jika actual melebihi target, nilai assignment bisa melebihi bobot karena kode saat ini tidak membatasi hasil.</t>
  </si>
  <si>
    <t>Ringkasan Untuk HR / Manager</t>
  </si>
  <si>
    <t>Area</t>
  </si>
  <si>
    <t>Nilai</t>
  </si>
  <si>
    <t>Keterangan</t>
  </si>
  <si>
    <t>Total Score Employee</t>
  </si>
  <si>
    <t>Total nilai akhir employee untuk periode tersebut.</t>
  </si>
  <si>
    <t>Grade mengikuti mapping A/B/C/D/E dari modul.</t>
  </si>
  <si>
    <t>Idealnya 100 jika ingin score langsung terbaca sebagai persentase performa.</t>
  </si>
  <si>
    <t>KPI Dominan</t>
  </si>
  <si>
    <t>Kontribusi</t>
  </si>
  <si>
    <t>Makna</t>
  </si>
  <si>
    <t>Assignment dengan sumbangan terbesar ke total nilai akhir.</t>
  </si>
  <si>
    <t>Baca report ini seperti berikut: bobot menunjukkan porsi maksimum kontribusi KPI, tetapi nilai akhir tetap tergantung pencapaian actual terhadap target. KPI dengan bobot besar tetapi actual rendah tetap memberi kontribusi kecil.</t>
  </si>
  <si>
    <t>Contoh Target Override dan Weight Override</t>
  </si>
  <si>
    <t>Override dipakai lebih dulu daripada default target/weight KPI.</t>
  </si>
  <si>
    <t>Parameter</t>
  </si>
  <si>
    <t>Dipakai?</t>
  </si>
  <si>
    <t>Default Target KPI</t>
  </si>
  <si>
    <t>Tidak</t>
  </si>
  <si>
    <t>Akan kalah prioritas jika target_override diisi</t>
  </si>
  <si>
    <t>Default Weight KPI</t>
  </si>
  <si>
    <t>Akan kalah prioritas jika weight_override diisi</t>
  </si>
  <si>
    <t>Target Override</t>
  </si>
  <si>
    <t>Ya</t>
  </si>
  <si>
    <t>Dipakai sebagai effective_target</t>
  </si>
  <si>
    <t>Weight Override</t>
  </si>
  <si>
    <t>Dipakai sebagai effective_weight</t>
  </si>
  <si>
    <t>Total dari semua kpi.value untuk assignment ini</t>
  </si>
  <si>
    <t>Rumus</t>
  </si>
  <si>
    <t>Hasil</t>
  </si>
  <si>
    <t>Nilai assignment = (60 / 80) x 50 = 37.5</t>
  </si>
  <si>
    <t>Simulator KPI Employee</t>
  </si>
  <si>
    <t>Kolom kuning bisa diubah. Rumus akan otomatis menghitung nilai assignment, kontribusi, total score, dan grade.</t>
  </si>
  <si>
    <t>Employee Name</t>
  </si>
  <si>
    <t>Nama Employee</t>
  </si>
  <si>
    <t>Periode</t>
  </si>
  <si>
    <t>2026-03</t>
  </si>
  <si>
    <t>Tips: set total bobot ke 100. Jika total bobot tidak 100, score akhir tetap valid menurut kode, tetapi lebih sulit dibaca sebagai skala 0-100.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</si>
</sst>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  <numFmt numFmtId="164" formatCode="0.00"/>
    <numFmt numFmtId="164" formatCode="0.00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rgb="FF55555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/>
    </xf>
    <xf numFmtId="164" fontId="0" fillId="0" borderId="1" xfId="0" applyNumberFormat="1" applyBorder="1"/>
    <xf numFmtId="165" fontId="0" fillId="0" borderId="1" xfId="0" applyNumberFormat="1" applyBorder="1"/>
    <xf numFmtId="0" fontId="0" fillId="0" borderId="1" xfId="0" applyBorder="1" applyAlignment="1">
      <alignment vertical="top" wrapText="1"/>
    </xf>
    <xf numFmtId="0" fontId="2" fillId="5" borderId="1" xfId="0" applyFont="1" applyFill="1" applyBorder="1"/>
    <xf numFmtId="164" fontId="2" fillId="5" borderId="1" xfId="0" applyNumberFormat="1" applyFont="1" applyFill="1" applyBorder="1"/>
    <xf numFmtId="0" fontId="3" fillId="5" borderId="1" xfId="0" applyFont="1" applyFill="1" applyBorder="1" applyAlignment="1">
      <alignment horizontal="center" vertical="center"/>
    </xf>
    <xf numFmtId="0" fontId="4" fillId="0" borderId="0" xfId="0" applyFont="1"/>
    <xf numFmtId="164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8.7109375" customWidth="1"/>
    <col min="2" max="2" width="24.7109375" customWidth="1"/>
    <col min="3" max="6" width="14.7109375" customWidth="1"/>
    <col min="7" max="8" width="18.7109375" customWidth="1"/>
    <col min="9" max="9" width="16.7109375" customWidth="1"/>
    <col min="10" max="10" width="42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spans="1:10">
      <c r="A4" s="4">
        <v>1</v>
      </c>
      <c r="B4" s="5" t="s">
        <v>12</v>
      </c>
      <c r="C4" s="6">
        <v>100</v>
      </c>
      <c r="D4" s="6">
        <v>80</v>
      </c>
      <c r="E4" s="6">
        <v>50</v>
      </c>
      <c r="F4" s="7">
        <f>(D4/C4)</f>
        <v>0</v>
      </c>
      <c r="G4" s="6">
        <f>(D4/C4)*E4</f>
        <v>0</v>
      </c>
      <c r="H4" s="7">
        <f>G4/$G$8</f>
        <v>0</v>
      </c>
      <c r="I4" s="4">
        <f>IF(D4&gt;C4,"Over target",IF(D4=C4,"On target","Below target"))</f>
        <v>0</v>
      </c>
      <c r="J4" s="8" t="s">
        <v>13</v>
      </c>
    </row>
    <row r="5" spans="1:10">
      <c r="A5" s="4">
        <v>2</v>
      </c>
      <c r="B5" s="5" t="s">
        <v>14</v>
      </c>
      <c r="C5" s="6">
        <v>20</v>
      </c>
      <c r="D5" s="6">
        <v>15</v>
      </c>
      <c r="E5" s="6">
        <v>30</v>
      </c>
      <c r="F5" s="7">
        <f>(D5/C5)</f>
        <v>0</v>
      </c>
      <c r="G5" s="6">
        <f>(D5/C5)*E5</f>
        <v>0</v>
      </c>
      <c r="H5" s="7">
        <f>G5/$G$8</f>
        <v>0</v>
      </c>
      <c r="I5" s="4">
        <f>IF(D5&gt;C5,"Over target",IF(D5=C5,"On target","Below target"))</f>
        <v>0</v>
      </c>
      <c r="J5" s="8" t="s">
        <v>15</v>
      </c>
    </row>
    <row r="6" spans="1:10">
      <c r="A6" s="4">
        <v>3</v>
      </c>
      <c r="B6" s="5" t="s">
        <v>16</v>
      </c>
      <c r="C6" s="6">
        <v>10</v>
      </c>
      <c r="D6" s="6">
        <v>12</v>
      </c>
      <c r="E6" s="6">
        <v>20</v>
      </c>
      <c r="F6" s="7">
        <f>(D6/C6)</f>
        <v>0</v>
      </c>
      <c r="G6" s="6">
        <f>(D6/C6)*E6</f>
        <v>0</v>
      </c>
      <c r="H6" s="7">
        <f>G6/$G$8</f>
        <v>0</v>
      </c>
      <c r="I6" s="4">
        <f>IF(D6&gt;C6,"Over target",IF(D6=C6,"On target","Below target"))</f>
        <v>0</v>
      </c>
      <c r="J6" s="8" t="s">
        <v>17</v>
      </c>
    </row>
    <row r="8" spans="1:10">
      <c r="F8" s="9" t="s">
        <v>18</v>
      </c>
      <c r="G8" s="10">
        <f>SUM(G4:G6)</f>
        <v>0</v>
      </c>
      <c r="H8" s="9" t="s">
        <v>21</v>
      </c>
      <c r="I8" s="9">
        <f>IF(G8&gt;=90,"Sangat baik",IF(G8&gt;=75,"Baik",IF(G8&gt;=60,"Cukup",IF(G8&gt;=40,"Kurang","Buruk"))))</f>
        <v>0</v>
      </c>
    </row>
    <row r="9" spans="1:10">
      <c r="F9" s="9" t="s">
        <v>19</v>
      </c>
      <c r="G9" s="10">
        <f>SUM(E4:E6)</f>
        <v>0</v>
      </c>
      <c r="H9" s="9" t="s">
        <v>11</v>
      </c>
      <c r="I9" s="8" t="s">
        <v>22</v>
      </c>
      <c r="J9" s="8"/>
    </row>
    <row r="10" spans="1:10">
      <c r="F10" s="9" t="s">
        <v>20</v>
      </c>
      <c r="G10" s="11">
        <f>IF(G8&gt;=90,"A",IF(G8&gt;=75,"B",IF(G8&gt;=60,"C",IF(G8&gt;=40,"D","E"))))</f>
        <v>0</v>
      </c>
      <c r="I10" s="8"/>
      <c r="J10" s="8"/>
    </row>
    <row r="12" spans="1:10">
      <c r="A12" s="5" t="s">
        <v>24</v>
      </c>
      <c r="B12" s="8" t="s">
        <v>25</v>
      </c>
      <c r="C12" s="8"/>
      <c r="D12" s="8"/>
      <c r="E12" s="8"/>
      <c r="F12" s="8"/>
      <c r="G12" s="8"/>
      <c r="H12" s="8"/>
      <c r="I12" s="8"/>
      <c r="J12" s="8"/>
    </row>
    <row r="13" spans="1:10">
      <c r="A13" s="5" t="s">
        <v>26</v>
      </c>
      <c r="B13" s="8" t="s">
        <v>27</v>
      </c>
      <c r="C13" s="8"/>
      <c r="D13" s="8"/>
      <c r="E13" s="8"/>
      <c r="F13" s="8"/>
      <c r="G13" s="8"/>
      <c r="H13" s="8"/>
      <c r="I13" s="8"/>
      <c r="J13" s="8"/>
    </row>
    <row r="14" spans="1:10">
      <c r="A14" s="5" t="s">
        <v>28</v>
      </c>
      <c r="B14" s="8" t="s">
        <v>29</v>
      </c>
      <c r="C14" s="8"/>
      <c r="D14" s="8"/>
      <c r="E14" s="8"/>
      <c r="F14" s="8"/>
      <c r="G14" s="8"/>
      <c r="H14" s="8"/>
      <c r="I14" s="8"/>
      <c r="J14" s="8"/>
    </row>
    <row r="15" spans="1:10">
      <c r="A15" s="5" t="s">
        <v>30</v>
      </c>
      <c r="B15" s="8" t="s">
        <v>31</v>
      </c>
      <c r="C15" s="8"/>
      <c r="D15" s="8"/>
      <c r="E15" s="8"/>
      <c r="F15" s="8"/>
      <c r="G15" s="8"/>
      <c r="H15" s="8"/>
      <c r="I15" s="8"/>
      <c r="J15" s="8"/>
    </row>
    <row r="16" spans="1:10">
      <c r="A16" s="5" t="s">
        <v>32</v>
      </c>
      <c r="B16" s="8" t="s">
        <v>33</v>
      </c>
      <c r="C16" s="8"/>
      <c r="D16" s="8"/>
      <c r="E16" s="8"/>
      <c r="F16" s="8"/>
      <c r="G16" s="8"/>
      <c r="H16" s="8"/>
      <c r="I16" s="8"/>
      <c r="J16" s="8"/>
    </row>
    <row r="17" spans="1:10">
      <c r="A17" s="5" t="s">
        <v>34</v>
      </c>
      <c r="B17" s="8" t="s">
        <v>35</v>
      </c>
      <c r="C17" s="8"/>
      <c r="D17" s="8"/>
      <c r="E17" s="8"/>
      <c r="F17" s="8"/>
      <c r="G17" s="8"/>
      <c r="H17" s="8"/>
      <c r="I17" s="8"/>
      <c r="J17" s="8"/>
    </row>
  </sheetData>
  <mergeCells count="9">
    <mergeCell ref="A1:J1"/>
    <mergeCell ref="A2:J2"/>
    <mergeCell ref="I9:J10"/>
    <mergeCell ref="B12:J12"/>
    <mergeCell ref="B13:J13"/>
    <mergeCell ref="B14:J14"/>
    <mergeCell ref="B15:J15"/>
    <mergeCell ref="B16:J16"/>
    <mergeCell ref="B17:J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40.7109375" customWidth="1"/>
  </cols>
  <sheetData>
    <row r="1" spans="1:3">
      <c r="A1" s="1" t="s">
        <v>36</v>
      </c>
      <c r="B1" s="1"/>
      <c r="C1" s="1"/>
    </row>
    <row r="3" spans="1:3">
      <c r="A3" s="3" t="s">
        <v>37</v>
      </c>
      <c r="B3" s="3" t="s">
        <v>38</v>
      </c>
      <c r="C3" s="3" t="s">
        <v>39</v>
      </c>
    </row>
    <row r="4" spans="1:3">
      <c r="A4" s="5" t="s">
        <v>40</v>
      </c>
      <c r="B4" s="10">
        <f>'Sample KPI'!G8</f>
        <v>0</v>
      </c>
      <c r="C4" s="8" t="s">
        <v>41</v>
      </c>
    </row>
    <row r="5" spans="1:3">
      <c r="A5" s="5" t="s">
        <v>20</v>
      </c>
      <c r="B5" s="11">
        <f>'Sample KPI'!G10</f>
        <v>0</v>
      </c>
      <c r="C5" s="8" t="s">
        <v>42</v>
      </c>
    </row>
    <row r="6" spans="1:3">
      <c r="A6" s="5" t="s">
        <v>19</v>
      </c>
      <c r="B6" s="10">
        <f>'Sample KPI'!G9</f>
        <v>0</v>
      </c>
      <c r="C6" s="8" t="s">
        <v>43</v>
      </c>
    </row>
    <row r="8" spans="1:3">
      <c r="A8" s="3" t="s">
        <v>44</v>
      </c>
      <c r="B8" s="3" t="s">
        <v>45</v>
      </c>
      <c r="C8" s="3" t="s">
        <v>46</v>
      </c>
    </row>
    <row r="9" spans="1:3">
      <c r="A9" s="5">
        <f>INDEX('Sample KPI'!B4:B6, MATCH(MAX('Sample KPI'!H4:H6), 'Sample KPI'!H4:H6, 0))</f>
        <v>0</v>
      </c>
      <c r="B9" s="7">
        <f>MAX('Sample KPI'!H4:H6)</f>
        <v>0</v>
      </c>
      <c r="C9" s="8" t="s">
        <v>47</v>
      </c>
    </row>
    <row r="11" spans="1:3">
      <c r="A11" s="2" t="s">
        <v>48</v>
      </c>
      <c r="B11" s="2"/>
      <c r="C11" s="2"/>
    </row>
    <row r="12" spans="1:3">
      <c r="A12" s="2"/>
      <c r="B12" s="2"/>
      <c r="C12" s="2"/>
    </row>
    <row r="13" spans="1:3">
      <c r="A13" s="2"/>
      <c r="B13" s="2"/>
      <c r="C13" s="2"/>
    </row>
    <row r="14" spans="1:3">
      <c r="A14" s="2"/>
      <c r="B14" s="2"/>
      <c r="C14" s="2"/>
    </row>
  </sheetData>
  <mergeCells count="2">
    <mergeCell ref="A1:C1"/>
    <mergeCell ref="A11:C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4.7109375" customWidth="1"/>
    <col min="2" max="3" width="16.7109375" customWidth="1"/>
    <col min="4" max="4" width="38.7109375" customWidth="1"/>
  </cols>
  <sheetData>
    <row r="1" spans="1:4">
      <c r="A1" s="1" t="s">
        <v>49</v>
      </c>
      <c r="B1" s="1"/>
      <c r="C1" s="1"/>
      <c r="D1" s="1"/>
    </row>
    <row r="2" spans="1:4">
      <c r="A2" s="12" t="s">
        <v>50</v>
      </c>
    </row>
    <row r="3" spans="1:4">
      <c r="A3" s="3" t="s">
        <v>51</v>
      </c>
      <c r="B3" s="3" t="s">
        <v>38</v>
      </c>
      <c r="C3" s="3" t="s">
        <v>52</v>
      </c>
      <c r="D3" s="3" t="s">
        <v>11</v>
      </c>
    </row>
    <row r="4" spans="1:4">
      <c r="A4" s="5" t="s">
        <v>53</v>
      </c>
      <c r="B4" s="6">
        <v>100</v>
      </c>
      <c r="C4" s="5" t="s">
        <v>54</v>
      </c>
      <c r="D4" s="8" t="s">
        <v>55</v>
      </c>
    </row>
    <row r="5" spans="1:4">
      <c r="A5" s="5" t="s">
        <v>56</v>
      </c>
      <c r="B5" s="6">
        <v>40</v>
      </c>
      <c r="C5" s="5" t="s">
        <v>54</v>
      </c>
      <c r="D5" s="8" t="s">
        <v>57</v>
      </c>
    </row>
    <row r="6" spans="1:4">
      <c r="A6" s="5" t="s">
        <v>58</v>
      </c>
      <c r="B6" s="6">
        <v>80</v>
      </c>
      <c r="C6" s="5" t="s">
        <v>59</v>
      </c>
      <c r="D6" s="8" t="s">
        <v>60</v>
      </c>
    </row>
    <row r="7" spans="1:4">
      <c r="A7" s="5" t="s">
        <v>61</v>
      </c>
      <c r="B7" s="6">
        <v>50</v>
      </c>
      <c r="C7" s="5" t="s">
        <v>59</v>
      </c>
      <c r="D7" s="8" t="s">
        <v>62</v>
      </c>
    </row>
    <row r="8" spans="1:4">
      <c r="A8" s="5" t="s">
        <v>5</v>
      </c>
      <c r="B8" s="6">
        <v>60</v>
      </c>
      <c r="C8" s="5" t="s">
        <v>59</v>
      </c>
      <c r="D8" s="8" t="s">
        <v>63</v>
      </c>
    </row>
    <row r="10" spans="1:4">
      <c r="A10" s="9" t="s">
        <v>64</v>
      </c>
      <c r="B10" s="10">
        <f>(B7/B5)*B6</f>
        <v>0</v>
      </c>
      <c r="C10" s="9" t="s">
        <v>65</v>
      </c>
      <c r="D10" s="8" t="s">
        <v>66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24.7109375" customWidth="1"/>
    <col min="3" max="6" width="14.7109375" customWidth="1"/>
    <col min="7" max="8" width="18.7109375" customWidth="1"/>
    <col min="9" max="10" width="24.7109375" customWidth="1"/>
  </cols>
  <sheetData>
    <row r="1" spans="1:10">
      <c r="A1" s="1" t="s">
        <v>67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68</v>
      </c>
      <c r="B2" s="2"/>
      <c r="C2" s="2"/>
      <c r="D2" s="2"/>
      <c r="E2" s="2"/>
      <c r="F2" s="2"/>
      <c r="G2" s="2"/>
      <c r="H2" s="2"/>
      <c r="I2" s="2"/>
      <c r="J2" s="2"/>
    </row>
    <row r="4" spans="1:10">
      <c r="A4" s="3" t="s">
        <v>69</v>
      </c>
      <c r="B4" s="2" t="s">
        <v>70</v>
      </c>
      <c r="C4" s="2"/>
      <c r="D4" s="2"/>
      <c r="E4" s="3" t="s">
        <v>71</v>
      </c>
      <c r="F4" s="2" t="s">
        <v>72</v>
      </c>
      <c r="G4" s="2"/>
    </row>
    <row r="5" spans="1:10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45</v>
      </c>
      <c r="I5" s="3" t="s">
        <v>11</v>
      </c>
      <c r="J5" s="3" t="s">
        <v>10</v>
      </c>
    </row>
    <row r="6" spans="1:10">
      <c r="A6" s="4">
        <v>1</v>
      </c>
      <c r="B6" s="5"/>
      <c r="C6" s="13"/>
      <c r="D6" s="13"/>
      <c r="E6" s="13"/>
      <c r="F6" s="7">
        <f>IFERROR(D6/C6,0)</f>
        <v>0</v>
      </c>
      <c r="G6" s="6">
        <f>IF(OR(C6&lt;=0,E6&lt;=0),0,(D6/C6)*E6)</f>
        <v>0</v>
      </c>
      <c r="H6" s="7">
        <f>IFERROR(G6/$G$16,0)</f>
        <v>0</v>
      </c>
      <c r="I6" s="8"/>
      <c r="J6" s="4">
        <f>IF(G6=0,"No score",IF(D6&gt;C6,"Over target",IF(D6=C6,"On target","Below target")))</f>
        <v>0</v>
      </c>
    </row>
    <row r="7" spans="1:10">
      <c r="A7" s="4">
        <v>2</v>
      </c>
      <c r="B7" s="5"/>
      <c r="C7" s="13"/>
      <c r="D7" s="13"/>
      <c r="E7" s="13"/>
      <c r="F7" s="7">
        <f>IFERROR(D7/C7,0)</f>
        <v>0</v>
      </c>
      <c r="G7" s="6">
        <f>IF(OR(C7&lt;=0,E7&lt;=0),0,(D7/C7)*E7)</f>
        <v>0</v>
      </c>
      <c r="H7" s="7">
        <f>IFERROR(G7/$G$16,0)</f>
        <v>0</v>
      </c>
      <c r="I7" s="8"/>
      <c r="J7" s="4">
        <f>IF(G7=0,"No score",IF(D7&gt;C7,"Over target",IF(D7=C7,"On target","Below target")))</f>
        <v>0</v>
      </c>
    </row>
    <row r="8" spans="1:10">
      <c r="A8" s="4">
        <v>3</v>
      </c>
      <c r="B8" s="5"/>
      <c r="C8" s="13"/>
      <c r="D8" s="13"/>
      <c r="E8" s="13"/>
      <c r="F8" s="7">
        <f>IFERROR(D8/C8,0)</f>
        <v>0</v>
      </c>
      <c r="G8" s="6">
        <f>IF(OR(C8&lt;=0,E8&lt;=0),0,(D8/C8)*E8)</f>
        <v>0</v>
      </c>
      <c r="H8" s="7">
        <f>IFERROR(G8/$G$16,0)</f>
        <v>0</v>
      </c>
      <c r="I8" s="8"/>
      <c r="J8" s="4">
        <f>IF(G8=0,"No score",IF(D8&gt;C8,"Over target",IF(D8=C8,"On target","Below target")))</f>
        <v>0</v>
      </c>
    </row>
    <row r="9" spans="1:10">
      <c r="A9" s="4">
        <v>4</v>
      </c>
      <c r="B9" s="5"/>
      <c r="C9" s="13"/>
      <c r="D9" s="13"/>
      <c r="E9" s="13"/>
      <c r="F9" s="7">
        <f>IFERROR(D9/C9,0)</f>
        <v>0</v>
      </c>
      <c r="G9" s="6">
        <f>IF(OR(C9&lt;=0,E9&lt;=0),0,(D9/C9)*E9)</f>
        <v>0</v>
      </c>
      <c r="H9" s="7">
        <f>IFERROR(G9/$G$16,0)</f>
        <v>0</v>
      </c>
      <c r="I9" s="8"/>
      <c r="J9" s="4">
        <f>IF(G9=0,"No score",IF(D9&gt;C9,"Over target",IF(D9=C9,"On target","Below target")))</f>
        <v>0</v>
      </c>
    </row>
    <row r="10" spans="1:10">
      <c r="A10" s="4">
        <v>5</v>
      </c>
      <c r="B10" s="5"/>
      <c r="C10" s="13"/>
      <c r="D10" s="13"/>
      <c r="E10" s="13"/>
      <c r="F10" s="7">
        <f>IFERROR(D10/C10,0)</f>
        <v>0</v>
      </c>
      <c r="G10" s="6">
        <f>IF(OR(C10&lt;=0,E10&lt;=0),0,(D10/C10)*E10)</f>
        <v>0</v>
      </c>
      <c r="H10" s="7">
        <f>IFERROR(G10/$G$16,0)</f>
        <v>0</v>
      </c>
      <c r="I10" s="8"/>
      <c r="J10" s="4">
        <f>IF(G10=0,"No score",IF(D10&gt;C10,"Over target",IF(D10=C10,"On target","Below target")))</f>
        <v>0</v>
      </c>
    </row>
    <row r="11" spans="1:10">
      <c r="A11" s="4">
        <v>6</v>
      </c>
      <c r="B11" s="5"/>
      <c r="C11" s="13"/>
      <c r="D11" s="13"/>
      <c r="E11" s="13"/>
      <c r="F11" s="7">
        <f>IFERROR(D11/C11,0)</f>
        <v>0</v>
      </c>
      <c r="G11" s="6">
        <f>IF(OR(C11&lt;=0,E11&lt;=0),0,(D11/C11)*E11)</f>
        <v>0</v>
      </c>
      <c r="H11" s="7">
        <f>IFERROR(G11/$G$16,0)</f>
        <v>0</v>
      </c>
      <c r="I11" s="8"/>
      <c r="J11" s="4">
        <f>IF(G11=0,"No score",IF(D11&gt;C11,"Over target",IF(D11=C11,"On target","Below target")))</f>
        <v>0</v>
      </c>
    </row>
    <row r="12" spans="1:10">
      <c r="A12" s="4">
        <v>7</v>
      </c>
      <c r="B12" s="5"/>
      <c r="C12" s="13"/>
      <c r="D12" s="13"/>
      <c r="E12" s="13"/>
      <c r="F12" s="7">
        <f>IFERROR(D12/C12,0)</f>
        <v>0</v>
      </c>
      <c r="G12" s="6">
        <f>IF(OR(C12&lt;=0,E12&lt;=0),0,(D12/C12)*E12)</f>
        <v>0</v>
      </c>
      <c r="H12" s="7">
        <f>IFERROR(G12/$G$16,0)</f>
        <v>0</v>
      </c>
      <c r="I12" s="8"/>
      <c r="J12" s="4">
        <f>IF(G12=0,"No score",IF(D12&gt;C12,"Over target",IF(D12=C12,"On target","Below target")))</f>
        <v>0</v>
      </c>
    </row>
    <row r="13" spans="1:10">
      <c r="A13" s="4">
        <v>8</v>
      </c>
      <c r="B13" s="5"/>
      <c r="C13" s="13"/>
      <c r="D13" s="13"/>
      <c r="E13" s="13"/>
      <c r="F13" s="7">
        <f>IFERROR(D13/C13,0)</f>
        <v>0</v>
      </c>
      <c r="G13" s="6">
        <f>IF(OR(C13&lt;=0,E13&lt;=0),0,(D13/C13)*E13)</f>
        <v>0</v>
      </c>
      <c r="H13" s="7">
        <f>IFERROR(G13/$G$16,0)</f>
        <v>0</v>
      </c>
      <c r="I13" s="8"/>
      <c r="J13" s="4">
        <f>IF(G13=0,"No score",IF(D13&gt;C13,"Over target",IF(D13=C13,"On target","Below target")))</f>
        <v>0</v>
      </c>
    </row>
    <row r="16" spans="1:10">
      <c r="F16" s="9" t="s">
        <v>18</v>
      </c>
      <c r="G16" s="10">
        <f>SUM(G6:G13)</f>
        <v>0</v>
      </c>
      <c r="H16" s="9" t="s">
        <v>21</v>
      </c>
      <c r="I16" s="9">
        <f>IF(G16&gt;=90,"Sangat baik",IF(G16&gt;=75,"Baik",IF(G16&gt;=60,"Cukup",IF(G16&gt;=40,"Kurang","Buruk"))))</f>
        <v>0</v>
      </c>
    </row>
    <row r="17" spans="6:10">
      <c r="F17" s="9" t="s">
        <v>19</v>
      </c>
      <c r="G17" s="10">
        <f>SUM(E6:E13)</f>
        <v>0</v>
      </c>
      <c r="H17" s="8" t="s">
        <v>73</v>
      </c>
      <c r="I17" s="8"/>
      <c r="J17" s="8"/>
    </row>
    <row r="18" spans="6:10">
      <c r="F18" s="9" t="s">
        <v>20</v>
      </c>
      <c r="G18" s="11">
        <f>IF(G16&gt;=90,"A",IF(G16&gt;=75,"B",IF(G16&gt;=60,"C",IF(G16&gt;=40,"D","E"))))</f>
        <v>0</v>
      </c>
      <c r="H18" s="8"/>
      <c r="I18" s="8"/>
      <c r="J18" s="8"/>
    </row>
  </sheetData>
  <mergeCells count="5">
    <mergeCell ref="A1:J1"/>
    <mergeCell ref="A2:J2"/>
    <mergeCell ref="B4:D4"/>
    <mergeCell ref="F4:G4"/>
    <mergeCell ref="H17:J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 KPI</vt:lpstr>
      <vt:lpstr>Executive Summary</vt:lpstr>
      <vt:lpstr>Override Example</vt:lpstr>
      <vt:lpstr>Simulator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KPI Weight Sample</dc:title>
  <dc:subject>Contoh perhitungan bobot KPI employee</dc:subject>
  <dc:creator>Codex</dc:creator>
  <dc:description>Generated from odoo_kpi formula</dc:description>
  <cp:lastModifiedBy>Codex</cp:lastModifiedBy>
  <dcterms:created xsi:type="dcterms:W3CDTF">2026-03-11T14:57:47Z</dcterms:created>
  <dcterms:modified xsi:type="dcterms:W3CDTF">2026-03-11T14:57:47Z</dcterms:modified>
</cp:coreProperties>
</file>